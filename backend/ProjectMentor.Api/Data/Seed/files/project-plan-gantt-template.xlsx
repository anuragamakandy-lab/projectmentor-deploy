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 mmm yyyy"/>
    <numFmt numFmtId="165" formatCode="dd/mm"/>
  </numFmts>
  <fonts count="6">
    <font>
      <name val="Calibri"/>
      <family val="2"/>
      <color theme="1"/>
      <sz val="11"/>
      <scheme val="minor"/>
    </font>
    <font>
      <name val="Cambria"/>
      <b val="1"/>
      <sz val="16"/>
    </font>
    <font>
      <i val="1"/>
      <color rgb="00737D71"/>
    </font>
    <font>
      <b val="1"/>
    </font>
    <font>
      <name val="Calibri"/>
      <b val="1"/>
      <color rgb="00FFFFFF"/>
    </font>
    <font>
      <color rgb="00737D71"/>
      <sz val="8"/>
    </font>
  </fonts>
  <fills count="3">
    <fill>
      <patternFill/>
    </fill>
    <fill>
      <patternFill patternType="gray125"/>
    </fill>
    <fill>
      <patternFill patternType="solid">
        <fgColor rgb="000E7A52"/>
      </patternFill>
    </fill>
  </fills>
  <borders count="2">
    <border>
      <left/>
      <right/>
      <top/>
      <bottom/>
      <diagonal/>
    </border>
    <border>
      <left style="thin">
        <color rgb="00DDE1D8"/>
      </left>
      <right style="thin">
        <color rgb="00DDE1D8"/>
      </right>
      <top style="thin">
        <color rgb="00DDE1D8"/>
      </top>
      <bottom style="thin">
        <color rgb="00DDE1D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165" fontId="5" fillId="0" borderId="0" applyAlignment="1" pivotButton="0" quotePrefix="0" xfId="0">
      <alignment horizontal="center"/>
    </xf>
    <xf numFmtId="0" fontId="4" fillId="2" borderId="1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9FD9BF"/>
        </patternFill>
      </fill>
    </dxf>
    <dxf>
      <fill>
        <patternFill patternType="solid">
          <fgColor rgb="000E7A5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14" customWidth="1" min="3" max="3"/>
    <col width="11" customWidth="1" min="4" max="4"/>
    <col width="8" customWidth="1" min="5" max="5"/>
    <col width="13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>
      <c r="A1" s="1" t="inlineStr">
        <is>
          <t>Project Plan &amp; Gantt Chart</t>
        </is>
      </c>
    </row>
    <row r="2">
      <c r="A2" s="2" t="inlineStr">
        <is>
          <t>Set the project start date in C3 (a Monday). Fill tasks, start week and length — the bars draw themselves.</t>
        </is>
      </c>
    </row>
    <row r="3">
      <c r="B3" s="3" t="inlineStr">
        <is>
          <t>Project start:</t>
        </is>
      </c>
      <c r="C3" s="4">
        <f>TODAY()-WEEKDAY(TODAY(),3)</f>
        <v/>
      </c>
    </row>
    <row r="4">
      <c r="G4" s="5">
        <f>$C$3+0</f>
        <v/>
      </c>
      <c r="H4" s="5">
        <f>$C$3+7</f>
        <v/>
      </c>
      <c r="I4" s="5">
        <f>$C$3+14</f>
        <v/>
      </c>
      <c r="J4" s="5">
        <f>$C$3+21</f>
        <v/>
      </c>
      <c r="K4" s="5">
        <f>$C$3+28</f>
        <v/>
      </c>
      <c r="L4" s="5">
        <f>$C$3+35</f>
        <v/>
      </c>
      <c r="M4" s="5">
        <f>$C$3+42</f>
        <v/>
      </c>
      <c r="N4" s="5">
        <f>$C$3+49</f>
        <v/>
      </c>
      <c r="O4" s="5">
        <f>$C$3+56</f>
        <v/>
      </c>
      <c r="P4" s="5">
        <f>$C$3+63</f>
        <v/>
      </c>
      <c r="Q4" s="5">
        <f>$C$3+70</f>
        <v/>
      </c>
      <c r="R4" s="5">
        <f>$C$3+77</f>
        <v/>
      </c>
      <c r="S4" s="5">
        <f>$C$3+84</f>
        <v/>
      </c>
      <c r="T4" s="5">
        <f>$C$3+91</f>
        <v/>
      </c>
    </row>
    <row r="5">
      <c r="A5" s="6" t="inlineStr">
        <is>
          <t>#</t>
        </is>
      </c>
      <c r="B5" s="6" t="inlineStr">
        <is>
          <t>Task</t>
        </is>
      </c>
      <c r="C5" s="6" t="inlineStr">
        <is>
          <t>Owner</t>
        </is>
      </c>
      <c r="D5" s="6" t="inlineStr">
        <is>
          <t>Start week</t>
        </is>
      </c>
      <c r="E5" s="6" t="inlineStr">
        <is>
          <t>Weeks</t>
        </is>
      </c>
      <c r="F5" s="6" t="inlineStr">
        <is>
          <t>Status</t>
        </is>
      </c>
      <c r="G5" s="7" t="inlineStr">
        <is>
          <t>W1</t>
        </is>
      </c>
      <c r="H5" s="7" t="inlineStr">
        <is>
          <t>W2</t>
        </is>
      </c>
      <c r="I5" s="7" t="inlineStr">
        <is>
          <t>W3</t>
        </is>
      </c>
      <c r="J5" s="7" t="inlineStr">
        <is>
          <t>W4</t>
        </is>
      </c>
      <c r="K5" s="7" t="inlineStr">
        <is>
          <t>W5</t>
        </is>
      </c>
      <c r="L5" s="7" t="inlineStr">
        <is>
          <t>W6</t>
        </is>
      </c>
      <c r="M5" s="7" t="inlineStr">
        <is>
          <t>W7</t>
        </is>
      </c>
      <c r="N5" s="7" t="inlineStr">
        <is>
          <t>W8</t>
        </is>
      </c>
      <c r="O5" s="7" t="inlineStr">
        <is>
          <t>W9</t>
        </is>
      </c>
      <c r="P5" s="7" t="inlineStr">
        <is>
          <t>W10</t>
        </is>
      </c>
      <c r="Q5" s="7" t="inlineStr">
        <is>
          <t>W11</t>
        </is>
      </c>
      <c r="R5" s="7" t="inlineStr">
        <is>
          <t>W12</t>
        </is>
      </c>
      <c r="S5" s="7" t="inlineStr">
        <is>
          <t>W13</t>
        </is>
      </c>
      <c r="T5" s="7" t="inlineStr">
        <is>
          <t>W14</t>
        </is>
      </c>
    </row>
    <row r="6">
      <c r="A6" s="8" t="n">
        <v>1</v>
      </c>
      <c r="B6" s="8" t="inlineStr">
        <is>
          <t>Requirements &amp; proposal</t>
        </is>
      </c>
      <c r="C6" s="8" t="n"/>
      <c r="D6" s="8" t="n">
        <v>1</v>
      </c>
      <c r="E6" s="8" t="n">
        <v>2</v>
      </c>
      <c r="F6" s="8" t="inlineStr">
        <is>
          <t>Not started</t>
        </is>
      </c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>
      <c r="A7" s="8" t="n">
        <v>2</v>
      </c>
      <c r="B7" s="8" t="inlineStr">
        <is>
          <t>System design (ER, architecture, UI)</t>
        </is>
      </c>
      <c r="C7" s="8" t="n"/>
      <c r="D7" s="8" t="n">
        <v>2</v>
      </c>
      <c r="E7" s="8" t="n">
        <v>2</v>
      </c>
      <c r="F7" s="8" t="inlineStr">
        <is>
          <t>Not started</t>
        </is>
      </c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>
      <c r="A8" s="8" t="n">
        <v>3</v>
      </c>
      <c r="B8" s="8" t="inlineStr">
        <is>
          <t>Backend API</t>
        </is>
      </c>
      <c r="C8" s="8" t="n"/>
      <c r="D8" s="8" t="n">
        <v>3</v>
      </c>
      <c r="E8" s="8" t="n">
        <v>4</v>
      </c>
      <c r="F8" s="8" t="inlineStr">
        <is>
          <t>Not started</t>
        </is>
      </c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</row>
    <row r="9">
      <c r="A9" s="8" t="n">
        <v>4</v>
      </c>
      <c r="B9" s="8" t="inlineStr">
        <is>
          <t>Frontend</t>
        </is>
      </c>
      <c r="C9" s="8" t="n"/>
      <c r="D9" s="8" t="n">
        <v>4</v>
      </c>
      <c r="E9" s="8" t="n">
        <v>4</v>
      </c>
      <c r="F9" s="8" t="inlineStr">
        <is>
          <t>Not started</t>
        </is>
      </c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</row>
    <row r="10">
      <c r="A10" s="8" t="n">
        <v>5</v>
      </c>
      <c r="B10" s="8" t="inlineStr">
        <is>
          <t>Integration &amp; AI features</t>
        </is>
      </c>
      <c r="C10" s="8" t="n"/>
      <c r="D10" s="8" t="n">
        <v>6</v>
      </c>
      <c r="E10" s="8" t="n">
        <v>3</v>
      </c>
      <c r="F10" s="8" t="inlineStr">
        <is>
          <t>Not started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</row>
    <row r="11">
      <c r="A11" s="8" t="n">
        <v>6</v>
      </c>
      <c r="B11" s="8" t="inlineStr">
        <is>
          <t>Testing</t>
        </is>
      </c>
      <c r="C11" s="8" t="n"/>
      <c r="D11" s="8" t="n">
        <v>8</v>
      </c>
      <c r="E11" s="8" t="n">
        <v>3</v>
      </c>
      <c r="F11" s="8" t="inlineStr">
        <is>
          <t>Not started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</row>
    <row r="12">
      <c r="A12" s="8" t="n">
        <v>7</v>
      </c>
      <c r="B12" s="8" t="inlineStr">
        <is>
          <t>Deployment</t>
        </is>
      </c>
      <c r="C12" s="8" t="n"/>
      <c r="D12" s="8" t="n">
        <v>10</v>
      </c>
      <c r="E12" s="8" t="n">
        <v>1</v>
      </c>
      <c r="F12" s="8" t="inlineStr">
        <is>
          <t>Not started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</row>
    <row r="13">
      <c r="A13" s="8" t="n">
        <v>8</v>
      </c>
      <c r="B13" s="8" t="inlineStr">
        <is>
          <t>Final report</t>
        </is>
      </c>
      <c r="C13" s="8" t="n"/>
      <c r="D13" s="8" t="n">
        <v>9</v>
      </c>
      <c r="E13" s="8" t="n">
        <v>4</v>
      </c>
      <c r="F13" s="8" t="inlineStr">
        <is>
          <t>Not started</t>
        </is>
      </c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</row>
    <row r="14">
      <c r="A14" s="8" t="n">
        <v>9</v>
      </c>
      <c r="B14" s="8" t="inlineStr">
        <is>
          <t>Presentation &amp; viva prep</t>
        </is>
      </c>
      <c r="C14" s="8" t="n"/>
      <c r="D14" s="8" t="n">
        <v>12</v>
      </c>
      <c r="E14" s="8" t="n">
        <v>2</v>
      </c>
      <c r="F14" s="8" t="inlineStr">
        <is>
          <t>Not started</t>
        </is>
      </c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</row>
    <row r="15">
      <c r="A15" s="8" t="n">
        <v>10</v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</row>
    <row r="16">
      <c r="A16" s="8" t="n">
        <v>11</v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</row>
    <row r="17">
      <c r="A17" s="8" t="n">
        <v>12</v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</row>
    <row r="18">
      <c r="A18" s="8" t="n">
        <v>13</v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</row>
    <row r="19">
      <c r="A19" s="8" t="n">
        <v>14</v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</row>
    <row r="20">
      <c r="A20" s="8" t="n">
        <v>15</v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</row>
    <row r="21">
      <c r="A21" s="8" t="n">
        <v>16</v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</row>
    <row r="22">
      <c r="A22" s="8" t="n">
        <v>17</v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</row>
    <row r="23">
      <c r="A23" s="8" t="n">
        <v>18</v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</row>
    <row r="24">
      <c r="A24" s="8" t="n">
        <v>19</v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</row>
    <row r="25">
      <c r="A25" s="8" t="n">
        <v>20</v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</row>
  </sheetData>
  <conditionalFormatting sqref="G6:T25">
    <cfRule type="expression" priority="1" dxfId="0">
      <formula>AND($F6="Done",COLUMN()-6&gt;=$D6,COLUMN()-6&lt;$D6+$E6)</formula>
    </cfRule>
    <cfRule type="expression" priority="2" dxfId="1">
      <formula>AND($D6&lt;&gt;"",COLUMN()-6&gt;=$D6,COLUMN()-6&lt;$D6+$E6)</formula>
    </cfRule>
  </conditionalFormatting>
  <dataValidations count="1">
    <dataValidation sqref="F6:F25" showDropDown="0" showInputMessage="0" showErrorMessage="0" allowBlank="1" type="list">
      <formula1>"Not started,In progress,Blocked,Done"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2026-10-01T23:28:27Z</dcterms:created>
  <dcterms:modified xmlns:dcterms="http://purl.org/dc/terms/" xmlns:xsi="http://www.w3.org/2001/XMLSchema-instance" xsi:type="dcterms:W3CDTF">2026-10-01T23:28:27Z</dcterms:modified>
</cp:coreProperties>
</file>